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(#,##0);&quot;-&quot;_)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color rgb="00404040"/>
      <sz val="10"/>
    </font>
    <font>
      <name val="Arial"/>
      <b val="1"/>
      <color rgb="00FFFFFF"/>
      <sz val="9"/>
    </font>
    <font>
      <name val="Arial"/>
      <i val="1"/>
      <color rgb="00404040"/>
      <sz val="8"/>
    </font>
    <font>
      <name val="Arial"/>
      <b val="1"/>
      <color rgb="001F3864"/>
      <sz val="9"/>
    </font>
    <font>
      <name val="Arial"/>
      <color rgb="00404040"/>
      <sz val="9"/>
    </font>
    <font>
      <name val="Arial"/>
      <color rgb="000000FF"/>
      <sz val="9"/>
    </font>
    <font>
      <name val="Arial"/>
      <b val="1"/>
      <color rgb="00404040"/>
      <sz val="9"/>
    </font>
    <font>
      <name val="Arial"/>
      <b val="1"/>
      <color rgb="00000000"/>
      <sz val="9"/>
    </font>
    <font>
      <name val="Arial"/>
      <i val="1"/>
      <color rgb="00808080"/>
      <sz val="7"/>
    </font>
    <font>
      <name val="Arial"/>
      <color rgb="0000800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bottom style="medium">
        <color rgb="00404040"/>
      </bottom>
    </border>
    <border>
      <bottom style="thin">
        <color rgb="00404040"/>
      </bottom>
    </border>
    <border/>
    <border>
      <top style="thin">
        <color rgb="00404040"/>
      </top>
      <bottom style="thin">
        <color rgb="00404040"/>
      </bottom>
    </border>
    <border>
      <top style="thin">
        <color rgb="0040404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left" vertical="center" indent="2"/>
    </xf>
    <xf numFmtId="164" fontId="7" fillId="0" borderId="3" applyAlignment="1" pivotButton="0" quotePrefix="0" xfId="0">
      <alignment horizontal="right" vertical="center"/>
    </xf>
    <xf numFmtId="0" fontId="8" fillId="3" borderId="4" applyAlignment="1" pivotButton="0" quotePrefix="0" xfId="0">
      <alignment horizontal="left" vertical="center" indent="1"/>
    </xf>
    <xf numFmtId="164" fontId="9" fillId="3" borderId="4" applyAlignment="1" pivotButton="0" quotePrefix="0" xfId="0">
      <alignment horizontal="right" vertical="center"/>
    </xf>
    <xf numFmtId="0" fontId="9" fillId="4" borderId="5" applyAlignment="1" pivotButton="0" quotePrefix="0" xfId="0">
      <alignment horizontal="left" vertical="center" indent="1"/>
    </xf>
    <xf numFmtId="164" fontId="9" fillId="4" borderId="5" applyAlignment="1" pivotButton="0" quotePrefix="0" xfId="0">
      <alignment horizontal="right" vertical="center"/>
    </xf>
    <xf numFmtId="0" fontId="10" fillId="0" borderId="0" pivotButton="0" quotePrefix="0" xfId="0"/>
    <xf numFmtId="49" fontId="4" fillId="0" borderId="0" applyAlignment="1" pivotButton="0" quotePrefix="0" xfId="0">
      <alignment horizontal="right" vertical="center"/>
    </xf>
    <xf numFmtId="164" fontId="1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Consolidated Income Statement</t>
        </is>
      </c>
    </row>
    <row r="4">
      <c r="A4" s="3" t="inlineStr">
        <is>
          <t>SEK '000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5">
      <c r="A5" s="5" t="inlineStr"/>
      <c r="B5" s="6" t="inlineStr">
        <is>
          <t>Jan-Mar</t>
        </is>
      </c>
      <c r="C5" s="6" t="inlineStr">
        <is>
          <t>Apr-Jun</t>
        </is>
      </c>
      <c r="D5" s="6" t="inlineStr">
        <is>
          <t>Jul-Sep</t>
        </is>
      </c>
    </row>
    <row r="7">
      <c r="A7" s="7" t="inlineStr">
        <is>
          <t>Revenue</t>
        </is>
      </c>
      <c r="B7" s="7" t="inlineStr"/>
      <c r="C7" s="7" t="inlineStr"/>
      <c r="D7" s="7" t="inlineStr"/>
    </row>
    <row r="8">
      <c r="A8" s="8" t="inlineStr">
        <is>
          <t>Net sales</t>
        </is>
      </c>
      <c r="B8" s="9" t="n">
        <v>2926</v>
      </c>
      <c r="C8" s="9" t="n">
        <v>19074</v>
      </c>
      <c r="D8" s="9" t="n">
        <v>16988</v>
      </c>
    </row>
    <row r="9">
      <c r="A9" s="8" t="inlineStr">
        <is>
          <t>Capitalized development costs</t>
        </is>
      </c>
      <c r="B9" s="9" t="n">
        <v>3844</v>
      </c>
      <c r="C9" s="9" t="n">
        <v>5660</v>
      </c>
      <c r="D9" s="9" t="n">
        <v>2998</v>
      </c>
    </row>
    <row r="10">
      <c r="A10" s="8" t="inlineStr">
        <is>
          <t>Other operating income</t>
        </is>
      </c>
      <c r="B10" s="9" t="n">
        <v>1100</v>
      </c>
      <c r="C10" s="9" t="n">
        <v>1558</v>
      </c>
      <c r="D10" s="9" t="n">
        <v>1403</v>
      </c>
    </row>
    <row r="11">
      <c r="A11" s="10" t="inlineStr">
        <is>
          <t>Total revenue</t>
        </is>
      </c>
      <c r="B11" s="11">
        <f>SUM(B8:B10)</f>
        <v/>
      </c>
      <c r="C11" s="11">
        <f>SUM(C8:C10)</f>
        <v/>
      </c>
      <c r="D11" s="11">
        <f>SUM(D8:D10)</f>
        <v/>
      </c>
    </row>
    <row r="13">
      <c r="A13" s="7" t="inlineStr">
        <is>
          <t>Operating expenses</t>
        </is>
      </c>
      <c r="B13" s="7" t="inlineStr"/>
      <c r="C13" s="7" t="inlineStr"/>
      <c r="D13" s="7" t="inlineStr"/>
    </row>
    <row r="14">
      <c r="A14" s="8" t="inlineStr">
        <is>
          <t>Cost of goods sold</t>
        </is>
      </c>
      <c r="B14" s="9" t="n">
        <v>-529</v>
      </c>
      <c r="C14" s="9" t="n">
        <v>-10415</v>
      </c>
      <c r="D14" s="9" t="n">
        <v>-8430</v>
      </c>
    </row>
    <row r="15">
      <c r="A15" s="8" t="inlineStr">
        <is>
          <t>Other external costs</t>
        </is>
      </c>
      <c r="B15" s="9" t="n">
        <v>-6827</v>
      </c>
      <c r="C15" s="9" t="n">
        <v>-9383</v>
      </c>
      <c r="D15" s="9" t="n">
        <v>-7601</v>
      </c>
    </row>
    <row r="16">
      <c r="A16" s="8" t="inlineStr">
        <is>
          <t>Personnel costs</t>
        </is>
      </c>
      <c r="B16" s="9" t="n">
        <v>-10226</v>
      </c>
      <c r="C16" s="9" t="n">
        <v>-11029</v>
      </c>
      <c r="D16" s="9" t="n">
        <v>-11066</v>
      </c>
    </row>
    <row r="17">
      <c r="A17" s="8" t="inlineStr">
        <is>
          <t>Depreciation &amp; amortization</t>
        </is>
      </c>
      <c r="B17" s="9" t="n">
        <v>-13856</v>
      </c>
      <c r="C17" s="9" t="n">
        <v>-14955</v>
      </c>
      <c r="D17" s="9" t="n">
        <v>-14910</v>
      </c>
    </row>
    <row r="18">
      <c r="A18" s="8" t="inlineStr">
        <is>
          <t>Other operating expenses</t>
        </is>
      </c>
      <c r="B18" s="9" t="n">
        <v>-516</v>
      </c>
      <c r="C18" s="9" t="n">
        <v>-1038</v>
      </c>
      <c r="D18" s="9" t="n">
        <v>-734</v>
      </c>
    </row>
    <row r="19">
      <c r="A19" s="10" t="inlineStr">
        <is>
          <t>Total operating expenses</t>
        </is>
      </c>
      <c r="B19" s="11">
        <f>SUM(B14:B18)</f>
        <v/>
      </c>
      <c r="C19" s="11">
        <f>SUM(C14:C18)</f>
        <v/>
      </c>
      <c r="D19" s="11">
        <f>SUM(D14:D18)</f>
        <v/>
      </c>
    </row>
    <row r="21">
      <c r="A21" s="12" t="inlineStr">
        <is>
          <t>Operating income (EBIT)</t>
        </is>
      </c>
      <c r="B21" s="13">
        <f>B11+B19</f>
        <v/>
      </c>
      <c r="C21" s="13">
        <f>C11+C19</f>
        <v/>
      </c>
      <c r="D21" s="13">
        <f>D11+D19</f>
        <v/>
      </c>
    </row>
    <row r="23">
      <c r="A23" s="7" t="inlineStr">
        <is>
          <t>Financial items</t>
        </is>
      </c>
      <c r="B23" s="7" t="inlineStr"/>
      <c r="C23" s="7" t="inlineStr"/>
      <c r="D23" s="7" t="inlineStr"/>
    </row>
    <row r="24">
      <c r="A24" s="8" t="inlineStr">
        <is>
          <t>Interest income</t>
        </is>
      </c>
      <c r="B24" s="9" t="n">
        <v>136</v>
      </c>
      <c r="C24" s="9" t="n">
        <v>328</v>
      </c>
      <c r="D24" s="9" t="n">
        <v>183</v>
      </c>
    </row>
    <row r="25">
      <c r="A25" s="8" t="inlineStr">
        <is>
          <t>Interest expense</t>
        </is>
      </c>
      <c r="B25" s="9" t="n">
        <v>-108</v>
      </c>
      <c r="C25" s="9" t="n">
        <v>-10</v>
      </c>
      <c r="D25" s="9" t="n">
        <v>-2</v>
      </c>
    </row>
    <row r="26">
      <c r="A26" s="10" t="inlineStr">
        <is>
          <t>Net financial items</t>
        </is>
      </c>
      <c r="B26" s="11">
        <f>B24+B25</f>
        <v/>
      </c>
      <c r="C26" s="11">
        <f>C24+C25</f>
        <v/>
      </c>
      <c r="D26" s="11">
        <f>D24+D25</f>
        <v/>
      </c>
    </row>
    <row r="28">
      <c r="A28" s="10" t="inlineStr">
        <is>
          <t>Income before tax (EBT)</t>
        </is>
      </c>
      <c r="B28" s="11">
        <f>B21+B26</f>
        <v/>
      </c>
      <c r="C28" s="11">
        <f>C21+C26</f>
        <v/>
      </c>
      <c r="D28" s="11">
        <f>D21+D26</f>
        <v/>
      </c>
    </row>
    <row r="29">
      <c r="A29" s="8" t="inlineStr">
        <is>
          <t>Income tax</t>
        </is>
      </c>
      <c r="B29" s="9" t="n">
        <v>0</v>
      </c>
      <c r="C29" s="9" t="n">
        <v>-2</v>
      </c>
      <c r="D29" s="9" t="n">
        <v>0</v>
      </c>
    </row>
    <row r="31">
      <c r="A31" s="12" t="inlineStr">
        <is>
          <t>Net income</t>
        </is>
      </c>
      <c r="B31" s="13">
        <f>B28+B29</f>
        <v/>
      </c>
      <c r="C31" s="13">
        <f>C28+C29</f>
        <v/>
      </c>
      <c r="D31" s="13">
        <f>D28+D29</f>
        <v/>
      </c>
    </row>
    <row r="34">
      <c r="A34" s="14" t="inlineStr">
        <is>
          <t>Source: Freemelt Interim Reports Q1-Q3 2025, page 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Consolidated Balance Sheet</t>
        </is>
      </c>
    </row>
    <row r="4">
      <c r="A4" s="3" t="inlineStr">
        <is>
          <t>SEK '000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5">
      <c r="A5" s="5" t="inlineStr"/>
      <c r="B5" s="15" t="inlineStr">
        <is>
          <t>31-Mar-2025</t>
        </is>
      </c>
      <c r="C5" s="15" t="inlineStr">
        <is>
          <t>30-Jun-2025</t>
        </is>
      </c>
      <c r="D5" s="15" t="inlineStr">
        <is>
          <t>30-Sep-2025</t>
        </is>
      </c>
    </row>
    <row r="7">
      <c r="A7" s="7" t="inlineStr">
        <is>
          <t>ASSETS</t>
        </is>
      </c>
      <c r="B7" s="7" t="inlineStr"/>
      <c r="C7" s="7" t="inlineStr"/>
      <c r="D7" s="7" t="inlineStr"/>
    </row>
    <row r="9">
      <c r="A9" s="7" t="inlineStr">
        <is>
          <t>Non-current assets</t>
        </is>
      </c>
      <c r="B9" s="7" t="inlineStr"/>
      <c r="C9" s="7" t="inlineStr"/>
      <c r="D9" s="7" t="inlineStr"/>
    </row>
    <row r="10">
      <c r="A10" s="8" t="inlineStr">
        <is>
          <t>Goodwill</t>
        </is>
      </c>
      <c r="B10" s="9" t="n">
        <v>70163</v>
      </c>
      <c r="C10" s="9" t="n">
        <v>58282</v>
      </c>
      <c r="D10" s="9" t="n">
        <v>46401</v>
      </c>
    </row>
    <row r="11">
      <c r="A11" s="8" t="inlineStr">
        <is>
          <t>Capitalized development</t>
        </is>
      </c>
      <c r="B11" s="9" t="n">
        <v>87777</v>
      </c>
      <c r="C11" s="9" t="n">
        <v>91121</v>
      </c>
      <c r="D11" s="9" t="n">
        <v>91804</v>
      </c>
    </row>
    <row r="12">
      <c r="A12" s="8" t="inlineStr">
        <is>
          <t>Patents</t>
        </is>
      </c>
      <c r="B12" s="9" t="n">
        <v>3997</v>
      </c>
      <c r="C12" s="9" t="n">
        <v>4613</v>
      </c>
      <c r="D12" s="9" t="n">
        <v>5214</v>
      </c>
    </row>
    <row r="13">
      <c r="A13" s="10" t="inlineStr">
        <is>
          <t>Total intangible assets</t>
        </is>
      </c>
      <c r="B13" s="11">
        <f>SUM(B10:B12)</f>
        <v/>
      </c>
      <c r="C13" s="11">
        <f>SUM(C10:C12)</f>
        <v/>
      </c>
      <c r="D13" s="11">
        <f>SUM(D10:D12)</f>
        <v/>
      </c>
    </row>
    <row r="14">
      <c r="A14" s="8" t="inlineStr">
        <is>
          <t>Machinery &amp; equipment</t>
        </is>
      </c>
      <c r="B14" s="9" t="n">
        <v>8869</v>
      </c>
      <c r="C14" s="9" t="n">
        <v>5165</v>
      </c>
      <c r="D14" s="9" t="n">
        <v>9937</v>
      </c>
    </row>
    <row r="15">
      <c r="A15" s="8" t="inlineStr">
        <is>
          <t>Fixtures &amp; fittings</t>
        </is>
      </c>
      <c r="B15" s="9" t="n">
        <v>1112</v>
      </c>
      <c r="C15" s="9" t="n">
        <v>1292</v>
      </c>
      <c r="D15" s="9" t="n">
        <v>1170</v>
      </c>
    </row>
    <row r="16">
      <c r="A16" s="10" t="inlineStr">
        <is>
          <t>Total tangible assets</t>
        </is>
      </c>
      <c r="B16" s="11">
        <f>SUM(B14:B15)</f>
        <v/>
      </c>
      <c r="C16" s="11">
        <f>SUM(C14:C15)</f>
        <v/>
      </c>
      <c r="D16" s="11">
        <f>SUM(D14:D15)</f>
        <v/>
      </c>
    </row>
    <row r="17">
      <c r="A17" s="8" t="inlineStr">
        <is>
          <t>Deferred tax assets</t>
        </is>
      </c>
      <c r="B17" s="9" t="n">
        <v>5230</v>
      </c>
      <c r="C17" s="9" t="n">
        <v>5230</v>
      </c>
      <c r="D17" s="9" t="n">
        <v>5230</v>
      </c>
    </row>
    <row r="18">
      <c r="A18" s="10" t="inlineStr">
        <is>
          <t>Total non-current assets</t>
        </is>
      </c>
      <c r="B18" s="11">
        <f>B13+B16+B17</f>
        <v/>
      </c>
      <c r="C18" s="11">
        <f>C13+C16+C17</f>
        <v/>
      </c>
      <c r="D18" s="11">
        <f>D13+D16+D17</f>
        <v/>
      </c>
    </row>
    <row r="20">
      <c r="A20" s="7" t="inlineStr">
        <is>
          <t>Current assets</t>
        </is>
      </c>
      <c r="B20" s="7" t="inlineStr"/>
      <c r="C20" s="7" t="inlineStr"/>
      <c r="D20" s="7" t="inlineStr"/>
    </row>
    <row r="21">
      <c r="A21" s="8" t="inlineStr">
        <is>
          <t>Inventory</t>
        </is>
      </c>
      <c r="B21" s="9" t="n">
        <v>17146</v>
      </c>
      <c r="C21" s="9" t="n">
        <v>20906</v>
      </c>
      <c r="D21" s="9" t="n">
        <v>18719</v>
      </c>
    </row>
    <row r="22">
      <c r="A22" s="8" t="inlineStr">
        <is>
          <t>Trade receivables</t>
        </is>
      </c>
      <c r="B22" s="9" t="n">
        <v>11573</v>
      </c>
      <c r="C22" s="9" t="n">
        <v>19829</v>
      </c>
      <c r="D22" s="9" t="n">
        <v>7646</v>
      </c>
    </row>
    <row r="23">
      <c r="A23" s="8" t="inlineStr">
        <is>
          <t>Other receivables</t>
        </is>
      </c>
      <c r="B23" s="9" t="n">
        <v>1995</v>
      </c>
      <c r="C23" s="9" t="n">
        <v>2279</v>
      </c>
      <c r="D23" s="9" t="n">
        <v>1774</v>
      </c>
    </row>
    <row r="24">
      <c r="A24" s="8" t="inlineStr">
        <is>
          <t>Prepaid expenses</t>
        </is>
      </c>
      <c r="B24" s="9" t="n">
        <v>3460</v>
      </c>
      <c r="C24" s="9" t="n">
        <v>3032</v>
      </c>
      <c r="D24" s="9" t="n">
        <v>3040</v>
      </c>
    </row>
    <row r="25">
      <c r="A25" s="8" t="inlineStr">
        <is>
          <t>Cash and cash equivalents</t>
        </is>
      </c>
      <c r="B25" s="9" t="n">
        <v>71822</v>
      </c>
      <c r="C25" s="9" t="n">
        <v>53984</v>
      </c>
      <c r="D25" s="9" t="n">
        <v>45081</v>
      </c>
    </row>
    <row r="26">
      <c r="A26" s="10" t="inlineStr">
        <is>
          <t>Total current assets</t>
        </is>
      </c>
      <c r="B26" s="11">
        <f>SUM(B21:B25)</f>
        <v/>
      </c>
      <c r="C26" s="11">
        <f>SUM(C21:C25)</f>
        <v/>
      </c>
      <c r="D26" s="11">
        <f>SUM(D21:D25)</f>
        <v/>
      </c>
    </row>
    <row r="28">
      <c r="A28" s="12" t="inlineStr">
        <is>
          <t>TOTAL ASSETS</t>
        </is>
      </c>
      <c r="B28" s="13">
        <f>B18+B26</f>
        <v/>
      </c>
      <c r="C28" s="13">
        <f>C18+C26</f>
        <v/>
      </c>
      <c r="D28" s="13">
        <f>D18+D26</f>
        <v/>
      </c>
    </row>
    <row r="31">
      <c r="A31" s="7" t="inlineStr">
        <is>
          <t>EQUITY AND LIABILITIES</t>
        </is>
      </c>
      <c r="B31" s="7" t="inlineStr"/>
      <c r="C31" s="7" t="inlineStr"/>
      <c r="D31" s="7" t="inlineStr"/>
    </row>
    <row r="33">
      <c r="A33" s="7" t="inlineStr">
        <is>
          <t>Shareholders' equity</t>
        </is>
      </c>
      <c r="B33" s="7" t="inlineStr"/>
      <c r="C33" s="7" t="inlineStr"/>
      <c r="D33" s="7" t="inlineStr"/>
    </row>
    <row r="34">
      <c r="A34" s="8" t="inlineStr">
        <is>
          <t>Share capital</t>
        </is>
      </c>
      <c r="B34" s="9" t="n">
        <v>9438</v>
      </c>
      <c r="C34" s="9" t="n">
        <v>9438</v>
      </c>
      <c r="D34" s="9" t="n">
        <v>9438</v>
      </c>
    </row>
    <row r="35">
      <c r="A35" s="8" t="inlineStr">
        <is>
          <t>Other contributed capital</t>
        </is>
      </c>
      <c r="B35" s="9" t="n">
        <v>534090</v>
      </c>
      <c r="C35" s="9" t="n">
        <v>533830</v>
      </c>
      <c r="D35" s="9" t="n">
        <v>533830</v>
      </c>
    </row>
    <row r="36">
      <c r="A36" s="8" t="inlineStr">
        <is>
          <t>Retained earnings</t>
        </is>
      </c>
      <c r="B36" s="9" t="n">
        <v>-287980</v>
      </c>
      <c r="C36" s="9" t="n">
        <v>-307781</v>
      </c>
      <c r="D36" s="9" t="n">
        <v>-328724</v>
      </c>
    </row>
    <row r="37">
      <c r="A37" s="10" t="inlineStr">
        <is>
          <t>Total shareholders' equity</t>
        </is>
      </c>
      <c r="B37" s="11">
        <f>SUM(B34:B36)</f>
        <v/>
      </c>
      <c r="C37" s="11">
        <f>SUM(C34:C36)</f>
        <v/>
      </c>
      <c r="D37" s="11">
        <f>SUM(D34:D36)</f>
        <v/>
      </c>
    </row>
    <row r="39">
      <c r="A39" s="7" t="inlineStr">
        <is>
          <t>Current liabilities</t>
        </is>
      </c>
      <c r="B39" s="7" t="inlineStr"/>
      <c r="C39" s="7" t="inlineStr"/>
      <c r="D39" s="7" t="inlineStr"/>
    </row>
    <row r="40">
      <c r="A40" s="8" t="inlineStr">
        <is>
          <t>Trade payables</t>
        </is>
      </c>
      <c r="B40" s="9" t="n">
        <v>3155</v>
      </c>
      <c r="C40" s="9" t="n">
        <v>8429</v>
      </c>
      <c r="D40" s="9" t="n">
        <v>9233</v>
      </c>
    </row>
    <row r="41">
      <c r="A41" s="8" t="inlineStr">
        <is>
          <t>Other liabilities</t>
        </is>
      </c>
      <c r="B41" s="9" t="n">
        <v>5583</v>
      </c>
      <c r="C41" s="9" t="n">
        <v>4028</v>
      </c>
      <c r="D41" s="9" t="n">
        <v>3044</v>
      </c>
    </row>
    <row r="42">
      <c r="A42" s="8" t="inlineStr">
        <is>
          <t>Accrued expenses</t>
        </is>
      </c>
      <c r="B42" s="9" t="n">
        <v>18742</v>
      </c>
      <c r="C42" s="9" t="n">
        <v>16671</v>
      </c>
      <c r="D42" s="9" t="n">
        <v>9155</v>
      </c>
    </row>
    <row r="43">
      <c r="A43" s="10" t="inlineStr">
        <is>
          <t>Total current liabilities</t>
        </is>
      </c>
      <c r="B43" s="11">
        <f>SUM(B40:B42)</f>
        <v/>
      </c>
      <c r="C43" s="11">
        <f>SUM(C40:C42)</f>
        <v/>
      </c>
      <c r="D43" s="11">
        <f>SUM(D40:D42)</f>
        <v/>
      </c>
    </row>
    <row r="45">
      <c r="A45" s="12" t="inlineStr">
        <is>
          <t>TOTAL EQUITY AND LIABILITIES</t>
        </is>
      </c>
      <c r="B45" s="13">
        <f>B37+B43</f>
        <v/>
      </c>
      <c r="C45" s="13">
        <f>C37+C43</f>
        <v/>
      </c>
      <c r="D45" s="13">
        <f>D37+D43</f>
        <v/>
      </c>
    </row>
    <row r="48">
      <c r="A48" s="14" t="inlineStr">
        <is>
          <t>Source: Freemelt Interim Reports Q1-Q3 2025, page 19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Consolidated Statement of Cash Flows</t>
        </is>
      </c>
    </row>
    <row r="4">
      <c r="A4" s="3" t="inlineStr">
        <is>
          <t>SEK '000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5">
      <c r="A5" s="5" t="inlineStr"/>
      <c r="B5" s="6" t="inlineStr">
        <is>
          <t>Jan-Mar</t>
        </is>
      </c>
      <c r="C5" s="6" t="inlineStr">
        <is>
          <t>Apr-Jun</t>
        </is>
      </c>
      <c r="D5" s="6" t="inlineStr">
        <is>
          <t>Jul-Sep</t>
        </is>
      </c>
    </row>
    <row r="7">
      <c r="A7" s="7" t="inlineStr">
        <is>
          <t>Cash flows from operating activities</t>
        </is>
      </c>
      <c r="B7" s="7" t="inlineStr"/>
      <c r="C7" s="7" t="inlineStr"/>
      <c r="D7" s="7" t="inlineStr"/>
    </row>
    <row r="8">
      <c r="A8" s="8" t="inlineStr">
        <is>
          <t>Income before tax</t>
        </is>
      </c>
      <c r="B8" s="16">
        <f>'Income Statement'!B28</f>
        <v/>
      </c>
      <c r="C8" s="16">
        <f>'Income Statement'!C28</f>
        <v/>
      </c>
      <c r="D8" s="16">
        <f>'Income Statement'!D28</f>
        <v/>
      </c>
    </row>
    <row r="9">
      <c r="A9" s="8" t="inlineStr">
        <is>
          <t>Adjustments for non-cash items</t>
        </is>
      </c>
      <c r="B9" s="9" t="n">
        <v>13856</v>
      </c>
      <c r="C9" s="9" t="n">
        <v>14955</v>
      </c>
      <c r="D9" s="9" t="n">
        <v>14909</v>
      </c>
    </row>
    <row r="10">
      <c r="A10" s="10" t="inlineStr">
        <is>
          <t>Cash flow before working capital changes</t>
        </is>
      </c>
      <c r="B10" s="11">
        <f>B8+B9</f>
        <v/>
      </c>
      <c r="C10" s="11">
        <f>C8+C9</f>
        <v/>
      </c>
      <c r="D10" s="11">
        <f>D8+D9</f>
        <v/>
      </c>
    </row>
    <row r="11">
      <c r="A11" s="8" t="inlineStr">
        <is>
          <t>Change in inventory</t>
        </is>
      </c>
      <c r="B11" s="9" t="n">
        <v>-3439</v>
      </c>
      <c r="C11" s="9" t="n">
        <v>-3760</v>
      </c>
      <c r="D11" s="9" t="n">
        <v>2187</v>
      </c>
    </row>
    <row r="12">
      <c r="A12" s="8" t="inlineStr">
        <is>
          <t>Change in receivables</t>
        </is>
      </c>
      <c r="B12" s="9" t="n">
        <v>-10532</v>
      </c>
      <c r="C12" s="9" t="n">
        <v>-7111</v>
      </c>
      <c r="D12" s="9" t="n">
        <v>11601</v>
      </c>
    </row>
    <row r="13">
      <c r="A13" s="8" t="inlineStr">
        <is>
          <t>Change in payables</t>
        </is>
      </c>
      <c r="B13" s="9" t="n">
        <v>10899</v>
      </c>
      <c r="C13" s="9" t="n">
        <v>1721</v>
      </c>
      <c r="D13" s="9" t="n">
        <v>-7695</v>
      </c>
    </row>
    <row r="14">
      <c r="A14" s="10" t="inlineStr">
        <is>
          <t>Net cash from operating activities</t>
        </is>
      </c>
      <c r="B14" s="11">
        <f>B10+SUM(B11:B13)</f>
        <v/>
      </c>
      <c r="C14" s="11">
        <f>C10+SUM(C11:C13)</f>
        <v/>
      </c>
      <c r="D14" s="11">
        <f>D10+SUM(D11:D13)</f>
        <v/>
      </c>
    </row>
    <row r="16">
      <c r="A16" s="7" t="inlineStr">
        <is>
          <t>Cash flows from investing activities</t>
        </is>
      </c>
      <c r="B16" s="7" t="inlineStr"/>
      <c r="C16" s="7" t="inlineStr"/>
      <c r="D16" s="7" t="inlineStr"/>
    </row>
    <row r="17">
      <c r="A17" s="8" t="inlineStr">
        <is>
          <t>Investment in intangible assets</t>
        </is>
      </c>
      <c r="B17" s="9" t="n">
        <v>-4414</v>
      </c>
      <c r="C17" s="9" t="n">
        <v>-6360</v>
      </c>
      <c r="D17" s="9" t="n">
        <v>-3775</v>
      </c>
    </row>
    <row r="18">
      <c r="A18" s="8" t="inlineStr">
        <is>
          <t>Investment in tangible assets</t>
        </is>
      </c>
      <c r="B18" s="9" t="n">
        <v>-71</v>
      </c>
      <c r="C18" s="9" t="n">
        <v>2809</v>
      </c>
      <c r="D18" s="9" t="n">
        <v>-5194</v>
      </c>
    </row>
    <row r="19">
      <c r="A19" s="8" t="inlineStr">
        <is>
          <t>Change in financial assets</t>
        </is>
      </c>
      <c r="B19" s="9" t="n">
        <v>-5000</v>
      </c>
      <c r="C19" s="9" t="n">
        <v>0</v>
      </c>
      <c r="D19" s="9" t="n">
        <v>0</v>
      </c>
    </row>
    <row r="20">
      <c r="A20" s="10" t="inlineStr">
        <is>
          <t>Net cash from investing activities</t>
        </is>
      </c>
      <c r="B20" s="11">
        <f>SUM(B17:B19)</f>
        <v/>
      </c>
      <c r="C20" s="11">
        <f>SUM(C17:C19)</f>
        <v/>
      </c>
      <c r="D20" s="11">
        <f>SUM(D17:D19)</f>
        <v/>
      </c>
    </row>
    <row r="22">
      <c r="A22" s="7" t="inlineStr">
        <is>
          <t>Cash flows from financing activities</t>
        </is>
      </c>
      <c r="B22" s="7" t="inlineStr"/>
      <c r="C22" s="7" t="inlineStr"/>
      <c r="D22" s="7" t="inlineStr"/>
    </row>
    <row r="23">
      <c r="A23" s="8" t="inlineStr">
        <is>
          <t>Proceeds from share issue</t>
        </is>
      </c>
      <c r="B23" s="9" t="n">
        <v>78089</v>
      </c>
      <c r="C23" s="9" t="n">
        <v>-378</v>
      </c>
      <c r="D23" s="9" t="n">
        <v>0</v>
      </c>
    </row>
    <row r="24">
      <c r="A24" s="8" t="inlineStr">
        <is>
          <t>Share issue costs</t>
        </is>
      </c>
      <c r="B24" s="9" t="n">
        <v>-4977</v>
      </c>
      <c r="C24" s="9" t="n">
        <v>260</v>
      </c>
      <c r="D24" s="9" t="n">
        <v>0</v>
      </c>
    </row>
    <row r="25">
      <c r="A25" s="10" t="inlineStr">
        <is>
          <t>Net cash from financing activities</t>
        </is>
      </c>
      <c r="B25" s="11">
        <f>SUM(B23:B24)</f>
        <v/>
      </c>
      <c r="C25" s="11">
        <f>SUM(C23:C24)</f>
        <v/>
      </c>
      <c r="D25" s="11">
        <f>SUM(D23:D24)</f>
        <v/>
      </c>
    </row>
    <row r="27">
      <c r="A27" s="12" t="inlineStr">
        <is>
          <t>Net change in cash</t>
        </is>
      </c>
      <c r="B27" s="13">
        <f>B14+B20+B25</f>
        <v/>
      </c>
      <c r="C27" s="13">
        <f>C14+C20+C25</f>
        <v/>
      </c>
      <c r="D27" s="13">
        <f>D14+D20+D25</f>
        <v/>
      </c>
    </row>
    <row r="28">
      <c r="A28" s="8" t="inlineStr">
        <is>
          <t>Cash at beginning of period</t>
        </is>
      </c>
      <c r="B28" s="9" t="n">
        <v>16467</v>
      </c>
      <c r="C28" s="9" t="n">
        <v>71822</v>
      </c>
      <c r="D28" s="9" t="n">
        <v>53984</v>
      </c>
    </row>
    <row r="29">
      <c r="A29" s="8" t="inlineStr">
        <is>
          <t>FX effect on cash</t>
        </is>
      </c>
      <c r="B29" s="9" t="n">
        <v>-158</v>
      </c>
      <c r="C29" s="9" t="n">
        <v>-24</v>
      </c>
      <c r="D29" s="9" t="n">
        <v>-27</v>
      </c>
    </row>
    <row r="30">
      <c r="A30" s="12" t="inlineStr">
        <is>
          <t>Cash at end of period</t>
        </is>
      </c>
      <c r="B30" s="13">
        <f>SUM(B27:B29)</f>
        <v/>
      </c>
      <c r="C30" s="13">
        <f>SUM(C27:C29)</f>
        <v/>
      </c>
      <c r="D30" s="13">
        <f>SUM(D27:D29)</f>
        <v/>
      </c>
    </row>
    <row r="33">
      <c r="A33" s="14" t="inlineStr">
        <is>
          <t>Source: Freemelt Interim Reports Q1-Q3 2025, page 20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2026-01-17T16:38:37Z</dcterms:created>
  <dcterms:modified xsi:type="dcterms:W3CDTF">2026-01-17T16:38:37Z</dcterms:modified>
</cp:coreProperties>
</file>